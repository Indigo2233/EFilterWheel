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/>
  <xr:revisionPtr revIDLastSave="0" documentId="13_ncr:1_{F6B99F4C-3BE6-4F88-9CB1-2635023FF3A7}" xr6:coauthVersionLast="47" xr6:coauthVersionMax="47" xr10:uidLastSave="{00000000-0000-0000-0000-000000000000}"/>
  <bookViews>
    <workbookView xWindow="45075" yWindow="4260" windowWidth="28815" windowHeight="15435" xr2:uid="{00000000-000D-0000-FFFF-FFFF00000000}"/>
  </bookViews>
  <sheets>
    <sheet name="AstroFilterWheel_BOM_2025-08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1" l="1"/>
</calcChain>
</file>

<file path=xl/sharedStrings.xml><?xml version="1.0" encoding="utf-8"?>
<sst xmlns="http://schemas.openxmlformats.org/spreadsheetml/2006/main" count="107" uniqueCount="94">
  <si>
    <t>No.</t>
  </si>
  <si>
    <t>Quantity</t>
  </si>
  <si>
    <t>Comment</t>
  </si>
  <si>
    <t>Designator</t>
  </si>
  <si>
    <t>Footprint</t>
  </si>
  <si>
    <t>1</t>
  </si>
  <si>
    <t>1K</t>
  </si>
  <si>
    <t>R0603</t>
  </si>
  <si>
    <t>2</t>
  </si>
  <si>
    <t>4.7K</t>
  </si>
  <si>
    <t>3</t>
  </si>
  <si>
    <t>22pF</t>
  </si>
  <si>
    <t>9PF,9PF</t>
  </si>
  <si>
    <t>C0603</t>
  </si>
  <si>
    <t>4</t>
  </si>
  <si>
    <t>10K</t>
  </si>
  <si>
    <t>5</t>
  </si>
  <si>
    <t>10kΩ</t>
  </si>
  <si>
    <t>6</t>
  </si>
  <si>
    <t>10UF</t>
  </si>
  <si>
    <t>10uf</t>
  </si>
  <si>
    <t>C1206</t>
  </si>
  <si>
    <t>7</t>
  </si>
  <si>
    <t>3kHz</t>
  </si>
  <si>
    <t>BUZZER1</t>
  </si>
  <si>
    <t>BUZ-TH_BD9.0-P5.00-D0.6-FD</t>
  </si>
  <si>
    <t>8</t>
  </si>
  <si>
    <t>100nF</t>
  </si>
  <si>
    <t>C1,C2,C3,C21,C22,C23,C24,C25,C26,C27,C28</t>
  </si>
  <si>
    <t>9</t>
  </si>
  <si>
    <t>SMD1206-150-16</t>
  </si>
  <si>
    <t>F1</t>
  </si>
  <si>
    <t>F1206</t>
  </si>
  <si>
    <t>10</t>
  </si>
  <si>
    <t>2.54mm2x3直排母</t>
  </si>
  <si>
    <t>H4</t>
  </si>
  <si>
    <t>HDR-TH_6P-P2.54-V-F-R2-C3-S2.54</t>
  </si>
  <si>
    <t>11</t>
  </si>
  <si>
    <t>12</t>
  </si>
  <si>
    <t>S8050 J3Y</t>
  </si>
  <si>
    <t>Q1</t>
  </si>
  <si>
    <t>SOT-23-3_L3.0-W1.7-P0.95-LS2.9-BR</t>
  </si>
  <si>
    <t>13</t>
  </si>
  <si>
    <t>M3螺丝</t>
  </si>
  <si>
    <t>SCREW1,SCREW2,SCREW3</t>
  </si>
  <si>
    <t>14</t>
  </si>
  <si>
    <t>TVS1</t>
  </si>
  <si>
    <t>SMA_L4.3-W2.6-LS5.2-RD</t>
  </si>
  <si>
    <t>15</t>
  </si>
  <si>
    <t>ULN2003</t>
  </si>
  <si>
    <t>U4</t>
  </si>
  <si>
    <t>SOIC-16_L9.9-W3.9-P1.27-LS6.0-BL</t>
  </si>
  <si>
    <t>16</t>
  </si>
  <si>
    <t>ATMEGA328P-AU</t>
  </si>
  <si>
    <t>U5</t>
  </si>
  <si>
    <t>TQFP-32_L7.0-W7.0-P0.80-LS9.0-BL</t>
  </si>
  <si>
    <t>17</t>
  </si>
  <si>
    <t>CH340E</t>
  </si>
  <si>
    <t>U6</t>
  </si>
  <si>
    <t>MSOP-10_L3.0-W3.0-P0.50-LS5.0-BL</t>
  </si>
  <si>
    <t>18</t>
  </si>
  <si>
    <t>WAFER-XH254Z-5A</t>
  </si>
  <si>
    <t>U7</t>
  </si>
  <si>
    <t>CONN-TH_5P-P2.50_WAFER-XH254Z-5A</t>
  </si>
  <si>
    <t>19</t>
  </si>
  <si>
    <t>A3144EUA-T-JSM</t>
  </si>
  <si>
    <t>U8</t>
  </si>
  <si>
    <t>TO-92S-3_L4.1-W1.7-P1.27-L</t>
  </si>
  <si>
    <t>20</t>
  </si>
  <si>
    <t>HX TYPE-BF 90</t>
  </si>
  <si>
    <t>USB1</t>
  </si>
  <si>
    <t>USB-B-TH_HX-TYPE-BF-90</t>
  </si>
  <si>
    <t>21</t>
  </si>
  <si>
    <t>16MHz</t>
  </si>
  <si>
    <t>X1</t>
  </si>
  <si>
    <t>CRYSTAL-SMD_4P-L3.2-W2.5-BL</t>
  </si>
  <si>
    <t>22</t>
  </si>
  <si>
    <t>短接</t>
  </si>
  <si>
    <t>可不买</t>
    <phoneticPr fontId="1" type="noConversion"/>
  </si>
  <si>
    <t>注意型号</t>
    <phoneticPr fontId="1" type="noConversion"/>
  </si>
  <si>
    <t>28BYJ48步进电机</t>
    <phoneticPr fontId="1" type="noConversion"/>
  </si>
  <si>
    <t>微动开关SS-01GL</t>
    <phoneticPr fontId="1" type="noConversion"/>
  </si>
  <si>
    <t>23</t>
  </si>
  <si>
    <t>24</t>
  </si>
  <si>
    <t>F6903轴承</t>
    <phoneticPr fontId="1" type="noConversion"/>
  </si>
  <si>
    <t>SMAJ6.0A-JSM</t>
    <phoneticPr fontId="1" type="noConversion"/>
  </si>
  <si>
    <t>磁铁 D4 X 1.5mm</t>
    <phoneticPr fontId="1" type="noConversion"/>
  </si>
  <si>
    <t>合计总价：</t>
    <phoneticPr fontId="1" type="noConversion"/>
  </si>
  <si>
    <t>外径130X1.9mm橡胶小皮圈</t>
    <phoneticPr fontId="1" type="noConversion"/>
  </si>
  <si>
    <t>25</t>
  </si>
  <si>
    <t>26</t>
  </si>
  <si>
    <t>所有标注可不买的元件都可选择性购买，不影响核心功能。</t>
    <phoneticPr fontId="1" type="noConversion"/>
  </si>
  <si>
    <t>用导线焊接在焊盘</t>
    <phoneticPr fontId="1" type="noConversion"/>
  </si>
  <si>
    <t>注意型号不要买错，否则会导致无法焊接以及功能异常。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</si>
</sst>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D33" sqref="D33"/>
    </sheetView>
  </sheetViews>
  <sheetFormatPr defaultRowHeight="13.5" x14ac:dyDescent="0.15"/>
  <cols>
    <col min="1" max="1" width="20" customWidth="1"/>
    <col min="2" max="2" width="16.625" style="1" customWidth="1"/>
    <col min="3" max="3" width="9.5" customWidth="1"/>
    <col min="4" max="4" width="24.125" customWidth="1"/>
    <col min="5" max="5" width="20" customWidth="1"/>
    <col min="6" max="6" width="34.375" customWidth="1"/>
    <col min="7" max="7" width="19.375" customWidth="1"/>
  </cols>
  <sheetData>
    <row r="1" spans="1:7" x14ac:dyDescent="0.15">
      <c r="A1" t="s">
        <v>0</v>
      </c>
      <c r="C1" t="s">
        <v>1</v>
      </c>
      <c r="D1" t="s">
        <v>2</v>
      </c>
      <c r="E1" t="s">
        <v>3</v>
      </c>
      <c r="F1" t="s">
        <v>4</v>
      </c>
    </row>
    <row r="2" spans="1:7" x14ac:dyDescent="0.15">
      <c r="A2" t="s">
        <v>5</v>
      </c>
      <c r="C2">
        <v>1</v>
      </c>
      <c r="D2" t="s">
        <v>6</v>
      </c>
      <c r="E2" t="s">
        <v>6</v>
      </c>
      <c r="F2" t="s">
        <v>7</v>
      </c>
    </row>
    <row r="3" spans="1:7" x14ac:dyDescent="0.15">
      <c r="A3" t="s">
        <v>8</v>
      </c>
      <c r="C3">
        <v>1</v>
      </c>
      <c r="D3" t="s">
        <v>9</v>
      </c>
      <c r="E3" t="s">
        <v>9</v>
      </c>
      <c r="F3" t="s">
        <v>7</v>
      </c>
    </row>
    <row r="4" spans="1:7" x14ac:dyDescent="0.15">
      <c r="A4" t="s">
        <v>10</v>
      </c>
      <c r="C4">
        <v>2</v>
      </c>
      <c r="D4" t="s">
        <v>11</v>
      </c>
      <c r="E4" t="s">
        <v>12</v>
      </c>
      <c r="F4" t="s">
        <v>13</v>
      </c>
    </row>
    <row r="5" spans="1:7" x14ac:dyDescent="0.15">
      <c r="A5" t="s">
        <v>14</v>
      </c>
      <c r="C5">
        <v>1</v>
      </c>
      <c r="D5" t="s">
        <v>15</v>
      </c>
      <c r="E5" t="s">
        <v>15</v>
      </c>
      <c r="F5" t="s">
        <v>7</v>
      </c>
    </row>
    <row r="6" spans="1:7" x14ac:dyDescent="0.15">
      <c r="A6" t="s">
        <v>16</v>
      </c>
      <c r="C6">
        <v>1</v>
      </c>
      <c r="D6" t="s">
        <v>17</v>
      </c>
      <c r="E6" t="s">
        <v>15</v>
      </c>
      <c r="F6" t="s">
        <v>7</v>
      </c>
    </row>
    <row r="7" spans="1:7" x14ac:dyDescent="0.15">
      <c r="A7" t="s">
        <v>18</v>
      </c>
      <c r="C7">
        <v>1</v>
      </c>
      <c r="D7" t="s">
        <v>19</v>
      </c>
      <c r="E7" t="s">
        <v>20</v>
      </c>
      <c r="F7" t="s">
        <v>21</v>
      </c>
      <c r="G7">
        <v>0.5</v>
      </c>
    </row>
    <row r="8" spans="1:7" x14ac:dyDescent="0.15">
      <c r="A8" t="s">
        <v>22</v>
      </c>
      <c r="C8">
        <v>1</v>
      </c>
      <c r="D8" t="s">
        <v>23</v>
      </c>
      <c r="E8" t="s">
        <v>24</v>
      </c>
      <c r="F8" t="s">
        <v>25</v>
      </c>
      <c r="G8">
        <v>0.5</v>
      </c>
    </row>
    <row r="9" spans="1:7" x14ac:dyDescent="0.15">
      <c r="A9" t="s">
        <v>26</v>
      </c>
      <c r="C9">
        <v>11</v>
      </c>
      <c r="D9" t="s">
        <v>27</v>
      </c>
      <c r="E9" t="s">
        <v>28</v>
      </c>
      <c r="F9" t="s">
        <v>13</v>
      </c>
      <c r="G9">
        <v>0.1</v>
      </c>
    </row>
    <row r="10" spans="1:7" x14ac:dyDescent="0.15">
      <c r="A10" t="s">
        <v>29</v>
      </c>
      <c r="B10" s="1" t="s">
        <v>78</v>
      </c>
      <c r="C10">
        <v>1</v>
      </c>
      <c r="D10" t="s">
        <v>30</v>
      </c>
      <c r="E10" t="s">
        <v>31</v>
      </c>
      <c r="F10" t="s">
        <v>32</v>
      </c>
      <c r="G10">
        <v>0.2</v>
      </c>
    </row>
    <row r="11" spans="1:7" x14ac:dyDescent="0.15">
      <c r="A11" t="s">
        <v>33</v>
      </c>
      <c r="B11" s="1" t="s">
        <v>78</v>
      </c>
      <c r="C11">
        <v>1</v>
      </c>
      <c r="D11" t="s">
        <v>34</v>
      </c>
      <c r="E11" t="s">
        <v>35</v>
      </c>
      <c r="F11" t="s">
        <v>36</v>
      </c>
    </row>
    <row r="12" spans="1:7" x14ac:dyDescent="0.15">
      <c r="A12" t="s">
        <v>37</v>
      </c>
      <c r="C12">
        <v>1</v>
      </c>
      <c r="D12" t="s">
        <v>39</v>
      </c>
      <c r="E12" t="s">
        <v>40</v>
      </c>
      <c r="F12" t="s">
        <v>41</v>
      </c>
    </row>
    <row r="13" spans="1:7" x14ac:dyDescent="0.15">
      <c r="A13" t="s">
        <v>38</v>
      </c>
      <c r="C13">
        <v>3</v>
      </c>
      <c r="D13" t="s">
        <v>43</v>
      </c>
      <c r="E13" t="s">
        <v>44</v>
      </c>
      <c r="F13" t="s">
        <v>43</v>
      </c>
    </row>
    <row r="14" spans="1:7" x14ac:dyDescent="0.15">
      <c r="A14" t="s">
        <v>42</v>
      </c>
      <c r="B14" s="1" t="s">
        <v>78</v>
      </c>
      <c r="C14">
        <v>1</v>
      </c>
      <c r="D14" t="s">
        <v>85</v>
      </c>
      <c r="E14" t="s">
        <v>46</v>
      </c>
      <c r="F14" t="s">
        <v>47</v>
      </c>
      <c r="G14">
        <v>0.1</v>
      </c>
    </row>
    <row r="15" spans="1:7" x14ac:dyDescent="0.15">
      <c r="A15" t="s">
        <v>45</v>
      </c>
      <c r="C15">
        <v>1</v>
      </c>
      <c r="D15" t="s">
        <v>49</v>
      </c>
      <c r="E15" t="s">
        <v>50</v>
      </c>
      <c r="F15" t="s">
        <v>51</v>
      </c>
      <c r="G15">
        <v>0.3</v>
      </c>
    </row>
    <row r="16" spans="1:7" x14ac:dyDescent="0.15">
      <c r="A16" t="s">
        <v>48</v>
      </c>
      <c r="C16">
        <v>1</v>
      </c>
      <c r="D16" t="s">
        <v>53</v>
      </c>
      <c r="E16" t="s">
        <v>54</v>
      </c>
      <c r="F16" t="s">
        <v>55</v>
      </c>
      <c r="G16">
        <v>9.3000000000000007</v>
      </c>
    </row>
    <row r="17" spans="1:7" x14ac:dyDescent="0.15">
      <c r="A17" t="s">
        <v>52</v>
      </c>
      <c r="B17" s="1" t="s">
        <v>79</v>
      </c>
      <c r="C17">
        <v>1</v>
      </c>
      <c r="D17" t="s">
        <v>57</v>
      </c>
      <c r="E17" t="s">
        <v>58</v>
      </c>
      <c r="F17" t="s">
        <v>59</v>
      </c>
      <c r="G17">
        <v>2.4</v>
      </c>
    </row>
    <row r="18" spans="1:7" x14ac:dyDescent="0.15">
      <c r="A18" t="s">
        <v>56</v>
      </c>
      <c r="C18">
        <v>1</v>
      </c>
      <c r="D18" t="s">
        <v>61</v>
      </c>
      <c r="E18" t="s">
        <v>62</v>
      </c>
      <c r="F18" t="s">
        <v>63</v>
      </c>
    </row>
    <row r="19" spans="1:7" x14ac:dyDescent="0.15">
      <c r="A19" t="s">
        <v>60</v>
      </c>
      <c r="C19">
        <v>1</v>
      </c>
      <c r="D19" t="s">
        <v>65</v>
      </c>
      <c r="E19" t="s">
        <v>66</v>
      </c>
      <c r="F19" t="s">
        <v>67</v>
      </c>
    </row>
    <row r="20" spans="1:7" x14ac:dyDescent="0.15">
      <c r="A20" t="s">
        <v>64</v>
      </c>
      <c r="C20">
        <v>1</v>
      </c>
      <c r="D20" t="s">
        <v>69</v>
      </c>
      <c r="E20" t="s">
        <v>70</v>
      </c>
      <c r="F20" t="s">
        <v>71</v>
      </c>
      <c r="G20">
        <v>0.15</v>
      </c>
    </row>
    <row r="21" spans="1:7" x14ac:dyDescent="0.15">
      <c r="A21" t="s">
        <v>68</v>
      </c>
      <c r="C21">
        <v>1</v>
      </c>
      <c r="D21" t="s">
        <v>73</v>
      </c>
      <c r="E21" t="s">
        <v>74</v>
      </c>
      <c r="F21" t="s">
        <v>75</v>
      </c>
      <c r="G21">
        <v>0.2</v>
      </c>
    </row>
    <row r="22" spans="1:7" x14ac:dyDescent="0.15">
      <c r="A22" t="s">
        <v>72</v>
      </c>
      <c r="C22">
        <v>1</v>
      </c>
      <c r="D22" t="s">
        <v>77</v>
      </c>
      <c r="E22" t="s">
        <v>77</v>
      </c>
      <c r="F22" t="s">
        <v>7</v>
      </c>
    </row>
    <row r="23" spans="1:7" x14ac:dyDescent="0.15">
      <c r="A23" t="s">
        <v>76</v>
      </c>
      <c r="C23">
        <v>1</v>
      </c>
      <c r="D23" t="s">
        <v>80</v>
      </c>
      <c r="G23">
        <v>3.9</v>
      </c>
    </row>
    <row r="24" spans="1:7" x14ac:dyDescent="0.15">
      <c r="A24" t="s">
        <v>82</v>
      </c>
      <c r="C24">
        <v>2</v>
      </c>
      <c r="D24" t="s">
        <v>86</v>
      </c>
    </row>
    <row r="25" spans="1:7" x14ac:dyDescent="0.15">
      <c r="A25" t="s">
        <v>83</v>
      </c>
      <c r="B25" s="1" t="s">
        <v>92</v>
      </c>
      <c r="C25">
        <v>1</v>
      </c>
      <c r="D25" t="s">
        <v>81</v>
      </c>
      <c r="G25">
        <v>0.5</v>
      </c>
    </row>
    <row r="26" spans="1:7" x14ac:dyDescent="0.15">
      <c r="A26" t="s">
        <v>89</v>
      </c>
      <c r="C26">
        <v>1</v>
      </c>
      <c r="D26" t="s">
        <v>88</v>
      </c>
      <c r="G26">
        <v>0.79</v>
      </c>
    </row>
    <row r="27" spans="1:7" x14ac:dyDescent="0.15">
      <c r="A27" t="s">
        <v>90</v>
      </c>
      <c r="C27">
        <v>1</v>
      </c>
      <c r="D27" t="s">
        <v>84</v>
      </c>
      <c r="G27">
        <v>2.5</v>
      </c>
    </row>
    <row r="29" spans="1:7" x14ac:dyDescent="0.15">
      <c r="F29" t="s">
        <v>87</v>
      </c>
      <c r="G29">
        <f>SUM(G1:G28)</f>
        <v>21.439999999999998</v>
      </c>
    </row>
    <row r="30" spans="1:7" x14ac:dyDescent="0.15">
      <c r="B30" s="1" t="s">
        <v>91</v>
      </c>
    </row>
    <row r="31" spans="1:7" x14ac:dyDescent="0.15">
      <c r="B31" s="1" t="s">
        <v>93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AstroFilterWheel_BOM_2025-08-09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2025-08-09T12:46:09Z</dcterms:created>
  <dcterms:modified xsi:type="dcterms:W3CDTF">2025-08-10T12:51:49Z</dcterms:modified>
  <cp:category/>
</cp:coreProperties>
</file>